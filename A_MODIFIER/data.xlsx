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hourl\HOME\expense-report-creator\A_MODIFIER\"/>
    </mc:Choice>
  </mc:AlternateContent>
  <xr:revisionPtr revIDLastSave="0" documentId="13_ncr:1_{575A7C31-BEEA-4EBF-A999-C366564DBD2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au de bord" sheetId="1" r:id="rId1"/>
    <sheet name="Bénéficiaires" sheetId="2" r:id="rId2"/>
    <sheet name="Options" sheetId="3" state="hidden" r:id="rId3"/>
  </sheets>
  <definedNames>
    <definedName name="_xlnm._FilterDatabase" localSheetId="1" hidden="1">Bénéficiaires!$A$1:$E$2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" i="1" l="1"/>
  <c r="G17" i="1"/>
  <c r="G16" i="1"/>
  <c r="G15" i="1"/>
</calcChain>
</file>

<file path=xl/sharedStrings.xml><?xml version="1.0" encoding="utf-8"?>
<sst xmlns="http://schemas.openxmlformats.org/spreadsheetml/2006/main" count="53" uniqueCount="48">
  <si>
    <t>Quantité</t>
  </si>
  <si>
    <t>Référence</t>
  </si>
  <si>
    <t>Prix unitaire</t>
  </si>
  <si>
    <t>Prix total</t>
  </si>
  <si>
    <t>Champs</t>
  </si>
  <si>
    <t>Données</t>
  </si>
  <si>
    <t>Adresse de l'association (partie 1)</t>
  </si>
  <si>
    <t>2 rue Charles Camichel</t>
  </si>
  <si>
    <t>Panier de basket</t>
  </si>
  <si>
    <t>Adresse de l'association (partie 2)</t>
  </si>
  <si>
    <t>31071 Toulouse CEDEX 7</t>
  </si>
  <si>
    <t>Paire de chaussure</t>
  </si>
  <si>
    <t>Fait à</t>
  </si>
  <si>
    <t>Toulouse</t>
  </si>
  <si>
    <t>Nom de l'association</t>
  </si>
  <si>
    <t>Wallstreet</t>
  </si>
  <si>
    <t>Short</t>
  </si>
  <si>
    <t>Email de l'association</t>
  </si>
  <si>
    <t>jordan.belfort@gmail.com</t>
  </si>
  <si>
    <t>Mandat</t>
  </si>
  <si>
    <t>2025-2026</t>
  </si>
  <si>
    <t>Trésorier</t>
  </si>
  <si>
    <t>Jordan Belfort</t>
  </si>
  <si>
    <t>Nom du fichier logo (vide si pas)</t>
  </si>
  <si>
    <t>logo.png</t>
  </si>
  <si>
    <t>Nom du fichier signature (vide si pas)</t>
  </si>
  <si>
    <t>signature.png</t>
  </si>
  <si>
    <t>Bénéficiaire (à remplir sur la feuille suivante)</t>
  </si>
  <si>
    <t>Michael Jordan</t>
  </si>
  <si>
    <t>Mode de remboursement</t>
  </si>
  <si>
    <t>Virement bancaire</t>
  </si>
  <si>
    <t>Noms pièces jointes (séparées par une virgule)</t>
  </si>
  <si>
    <t>Numéro de la note de frais</t>
  </si>
  <si>
    <t>Adresse (partie 1)</t>
  </si>
  <si>
    <t>Adresse (partie 2)</t>
  </si>
  <si>
    <t>Téléphone</t>
  </si>
  <si>
    <t>IBAN (remplissage auto à partir du bénéficiaire)</t>
  </si>
  <si>
    <t>Prénom Nom</t>
  </si>
  <si>
    <t>Téléphone (ou email)</t>
  </si>
  <si>
    <t>IBAN</t>
  </si>
  <si>
    <t>200 rue du Basket</t>
  </si>
  <si>
    <t>31000 Toulouse</t>
  </si>
  <si>
    <t>06 69 69 69 69</t>
  </si>
  <si>
    <t>FR76 0000 0000 5700 0408 9597 000</t>
  </si>
  <si>
    <t>Espèce</t>
  </si>
  <si>
    <t>Application de transfert</t>
  </si>
  <si>
    <t>Ballon de basket</t>
  </si>
  <si>
    <t>Maillot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</si>
</sst>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i/>
      <sz val="11"/>
      <color theme="1"/>
      <name val="Calibri"/>
      <scheme val="minor"/>
    </font>
    <font>
      <u/>
      <sz val="11"/>
      <color theme="1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theme="5" tint="0.7999816888943144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jordan.belfort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"/>
  <sheetViews>
    <sheetView tabSelected="1" workbookViewId="0">
      <selection activeCell="C17" sqref="C17"/>
    </sheetView>
  </sheetViews>
  <sheetFormatPr baseColWidth="10" defaultColWidth="9.140625" defaultRowHeight="15" x14ac:dyDescent="0.25"/>
  <cols>
    <col min="1" max="1" width="17.140625" customWidth="1"/>
    <col min="2" max="2" width="20.28515625" customWidth="1"/>
    <col min="3" max="4" width="17.140625" customWidth="1"/>
    <col min="5" max="5" width="4.85546875" customWidth="1"/>
    <col min="6" max="6" width="42.85546875" customWidth="1"/>
    <col min="7" max="7" width="34.570312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F1" s="1" t="s">
        <v>4</v>
      </c>
      <c r="G1" s="1" t="s">
        <v>5</v>
      </c>
    </row>
    <row r="2" spans="1:7" x14ac:dyDescent="0.25">
      <c r="A2">
        <v>12</v>
      </c>
      <c r="B2" t="s">
        <v>46</v>
      </c>
      <c r="C2">
        <v>20</v>
      </c>
      <c r="D2">
        <v>240</v>
      </c>
      <c r="F2" s="2" t="s">
        <v>6</v>
      </c>
      <c r="G2" t="s">
        <v>7</v>
      </c>
    </row>
    <row r="3" spans="1:7" x14ac:dyDescent="0.25">
      <c r="A3">
        <v>1</v>
      </c>
      <c r="B3" t="s">
        <v>8</v>
      </c>
      <c r="C3">
        <v>325</v>
      </c>
      <c r="D3">
        <v>325</v>
      </c>
      <c r="F3" s="2" t="s">
        <v>9</v>
      </c>
      <c r="G3" t="s">
        <v>10</v>
      </c>
    </row>
    <row r="4" spans="1:7" x14ac:dyDescent="0.25">
      <c r="A4">
        <v>1</v>
      </c>
      <c r="B4" t="s">
        <v>11</v>
      </c>
      <c r="C4">
        <v>150</v>
      </c>
      <c r="D4">
        <v>150</v>
      </c>
      <c r="F4" s="2" t="s">
        <v>12</v>
      </c>
      <c r="G4" t="s">
        <v>13</v>
      </c>
    </row>
    <row r="5" spans="1:7" x14ac:dyDescent="0.25">
      <c r="A5">
        <v>25</v>
      </c>
      <c r="B5" t="s">
        <v>47</v>
      </c>
      <c r="C5">
        <v>10</v>
      </c>
      <c r="D5">
        <v>250</v>
      </c>
      <c r="F5" s="2" t="s">
        <v>14</v>
      </c>
      <c r="G5" t="s">
        <v>15</v>
      </c>
    </row>
    <row r="6" spans="1:7" x14ac:dyDescent="0.25">
      <c r="A6">
        <v>25</v>
      </c>
      <c r="B6" t="s">
        <v>16</v>
      </c>
      <c r="C6">
        <v>15</v>
      </c>
      <c r="D6">
        <v>375</v>
      </c>
      <c r="F6" s="2" t="s">
        <v>17</v>
      </c>
      <c r="G6" s="3" t="s">
        <v>18</v>
      </c>
    </row>
    <row r="7" spans="1:7" x14ac:dyDescent="0.25">
      <c r="F7" s="2" t="s">
        <v>19</v>
      </c>
      <c r="G7" t="s">
        <v>20</v>
      </c>
    </row>
    <row r="8" spans="1:7" x14ac:dyDescent="0.25">
      <c r="F8" s="2" t="s">
        <v>21</v>
      </c>
      <c r="G8" t="s">
        <v>22</v>
      </c>
    </row>
    <row r="9" spans="1:7" x14ac:dyDescent="0.25">
      <c r="F9" s="2" t="s">
        <v>23</v>
      </c>
      <c r="G9" t="s">
        <v>24</v>
      </c>
    </row>
    <row r="10" spans="1:7" x14ac:dyDescent="0.25">
      <c r="F10" s="2" t="s">
        <v>25</v>
      </c>
      <c r="G10" t="s">
        <v>26</v>
      </c>
    </row>
    <row r="11" spans="1:7" x14ac:dyDescent="0.25">
      <c r="F11" s="1" t="s">
        <v>27</v>
      </c>
      <c r="G11" s="4" t="s">
        <v>28</v>
      </c>
    </row>
    <row r="12" spans="1:7" x14ac:dyDescent="0.25">
      <c r="F12" s="1" t="s">
        <v>29</v>
      </c>
      <c r="G12" s="4" t="s">
        <v>30</v>
      </c>
    </row>
    <row r="13" spans="1:7" x14ac:dyDescent="0.25">
      <c r="F13" s="1" t="s">
        <v>31</v>
      </c>
      <c r="G13" s="4"/>
    </row>
    <row r="14" spans="1:7" x14ac:dyDescent="0.25">
      <c r="F14" s="1" t="s">
        <v>32</v>
      </c>
      <c r="G14" s="4">
        <v>1</v>
      </c>
    </row>
    <row r="15" spans="1:7" x14ac:dyDescent="0.25">
      <c r="F15" s="2" t="s">
        <v>33</v>
      </c>
      <c r="G15" t="str">
        <f>_xlfn.XLOOKUP(G11,Bénéficiaires!A:A,Bénéficiaires!B:B,"Adresse non-renseignée")</f>
        <v>200 rue du Basket</v>
      </c>
    </row>
    <row r="16" spans="1:7" x14ac:dyDescent="0.25">
      <c r="F16" s="2" t="s">
        <v>34</v>
      </c>
      <c r="G16" t="str">
        <f>_xlfn.XLOOKUP(G11,Bénéficiaires!A:A,Bénéficiaires!C:C,"Adresse non-renseignée")</f>
        <v>31000 Toulouse</v>
      </c>
    </row>
    <row r="17" spans="6:7" x14ac:dyDescent="0.25">
      <c r="F17" s="2" t="s">
        <v>35</v>
      </c>
      <c r="G17" t="str">
        <f>_xlfn.XLOOKUP(G11,Bénéficiaires!A:A,Bénéficiaires!D:D,"Téléphone non-renseigné")</f>
        <v>06 69 69 69 69</v>
      </c>
    </row>
    <row r="18" spans="6:7" x14ac:dyDescent="0.25">
      <c r="F18" s="2" t="s">
        <v>36</v>
      </c>
      <c r="G18" t="str">
        <f>IF(G12="Virement bancaire",_xlfn.XLOOKUP(G11,Bénéficiaires!A:A,Bénéficiaires!E:E,"IBAN non-renseigné"),"")</f>
        <v>FR76 0000 0000 5700 0408 9597 000</v>
      </c>
    </row>
  </sheetData>
  <hyperlinks>
    <hyperlink ref="G6" r:id="rId1" xr:uid="{00000000-0004-0000-0000-000000000000}"/>
  </hyperlinks>
  <pageMargins left="0.7" right="0.7" top="0.75" bottom="0.75" header="0.3" footer="0.3"/>
  <pageSetup orientation="portrait" verticalDpi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000-000000000000}">
          <x14:formula1>
            <xm:f>Bénéficiaires!$A$2:$A$1000</xm:f>
          </x14:formula1>
          <xm:sqref>G11</xm:sqref>
        </x14:dataValidation>
        <x14:dataValidation type="list" allowBlank="1" showInputMessage="1" showErrorMessage="1" xr:uid="{00000000-0002-0000-0000-000001000000}">
          <x14:formula1>
            <xm:f>Options!$A$2:$A$4</xm:f>
          </x14:formula1>
          <xm:sqref>G12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/>
  </sheetViews>
  <sheetFormatPr baseColWidth="10" defaultColWidth="9.140625" defaultRowHeight="15" x14ac:dyDescent="0.25"/>
  <cols>
    <col min="1" max="1" width="24.140625" customWidth="1"/>
    <col min="2" max="3" width="23.140625" customWidth="1"/>
    <col min="4" max="4" width="39" customWidth="1"/>
    <col min="5" max="5" width="36.28515625" customWidth="1"/>
  </cols>
  <sheetData>
    <row r="1" spans="1:5" x14ac:dyDescent="0.25">
      <c r="A1" s="1" t="s">
        <v>37</v>
      </c>
      <c r="B1" s="1" t="s">
        <v>33</v>
      </c>
      <c r="C1" s="1" t="s">
        <v>34</v>
      </c>
      <c r="D1" s="1" t="s">
        <v>38</v>
      </c>
      <c r="E1" s="1" t="s">
        <v>39</v>
      </c>
    </row>
    <row r="2" spans="1:5" x14ac:dyDescent="0.25">
      <c r="A2" t="s">
        <v>28</v>
      </c>
      <c r="B2" t="s">
        <v>40</v>
      </c>
      <c r="C2" t="s">
        <v>41</v>
      </c>
      <c r="D2" t="s">
        <v>42</v>
      </c>
      <c r="E2" t="s">
        <v>43</v>
      </c>
    </row>
  </sheetData>
  <autoFilter ref="A1:E2" xr:uid="{00000000-0009-0000-0000-000001000000}">
    <sortState xmlns:xlrd2="http://schemas.microsoft.com/office/spreadsheetml/2017/richdata2" ref="A2:E2">
      <sortCondition ref="A1:A2"/>
    </sortState>
  </autoFilter>
  <pageMargins left="0.70078740157480324" right="0.70078740157480324" top="0.75196850393700787" bottom="0.75196850393700787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4"/>
  <sheetViews>
    <sheetView workbookViewId="0"/>
  </sheetViews>
  <sheetFormatPr baseColWidth="10" defaultColWidth="9.140625" defaultRowHeight="15" x14ac:dyDescent="0.25"/>
  <cols>
    <col min="1" max="1" width="24.28515625" customWidth="1"/>
  </cols>
  <sheetData>
    <row r="1" spans="1:1" x14ac:dyDescent="0.25">
      <c r="A1" s="1" t="s">
        <v>29</v>
      </c>
    </row>
    <row r="2" spans="1:1" x14ac:dyDescent="0.25">
      <c r="A2" t="s">
        <v>30</v>
      </c>
    </row>
    <row r="3" spans="1:1" x14ac:dyDescent="0.25">
      <c r="A3" t="s">
        <v>44</v>
      </c>
    </row>
    <row r="4" spans="1:1" x14ac:dyDescent="0.25">
      <c r="A4" t="s">
        <v>45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Tableau de bord</vt:lpstr>
      <vt:lpstr>Bénéficiaires</vt:lpstr>
      <vt:lpstr>Options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 Hourlier</cp:lastModifiedBy>
  <cp:revision>6</cp:revision>
  <dcterms:modified xsi:type="dcterms:W3CDTF">2025-12-04T09:39:43Z</dcterms:modified>
</cp:coreProperties>
</file>