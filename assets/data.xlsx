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au de bord" sheetId="1" state="visible" r:id="rId1"/>
    <sheet name="Bénéficiaires" sheetId="2" state="visible" r:id="rId2"/>
    <sheet name="Options" sheetId="3" state="visible" r:id="rId3"/>
  </sheets>
  <definedNames>
    <definedName name="_xlnm._FilterDatabase" localSheetId="1" hidden="1">Bénéficiaires!$A$1:$E$2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<sst xmlns="http://schemas.openxmlformats.org/spreadsheetml/2006/main" count="44" uniqueCount="44">
  <si>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Quantité</t>
  </si>
  <si>
    <t>Référence</t>
  </si>
  <si>
    <t xml:space="preserve">Prix unitaire</t>
  </si>
  <si>
    <t xml:space="preserve">Prix total</t>
  </si>
  <si>
    <t>Champs</t>
  </si>
  <si>
    <t>Données</t>
  </si>
  <si>
    <t>test</t>
  </si>
  <si>
    <t xml:space="preserve">Adresse de l'association (partie 1)</t>
  </si>
  <si>
    <t xml:space="preserve">2 rue Charles Camichel</t>
  </si>
  <si>
    <t xml:space="preserve">Adresse de l'association (partie 2)</t>
  </si>
  <si>
    <t xml:space="preserve">31071 Toulouse CEDEX 7</t>
  </si>
  <si>
    <t xml:space="preserve">Fait à</t>
  </si>
  <si>
    <t>Toulouse</t>
  </si>
  <si>
    <t xml:space="preserve">Nom de l'association</t>
  </si>
  <si>
    <t>Wallstreet</t>
  </si>
  <si>
    <t xml:space="preserve">Email de l'association</t>
  </si>
  <si>
    <t>jordan.belfort@gmail.com</t>
  </si>
  <si>
    <t>Mandat</t>
  </si>
  <si>
    <t>2025-2026</t>
  </si>
  <si>
    <t>Trésorier</t>
  </si>
  <si>
    <t xml:space="preserve">Jordan Belfort</t>
  </si>
  <si>
    <t xml:space="preserve">Nom du fichier logo (vide si pas)</t>
  </si>
  <si>
    <t>logo.png</t>
  </si>
  <si>
    <t xml:space="preserve">Nom du fichier signature (vide si pas)</t>
  </si>
  <si>
    <t>signature.png</t>
  </si>
  <si>
    <t xml:space="preserve">Bénéficiaire (à remplir sur la feuille suivante)</t>
  </si>
  <si>
    <t xml:space="preserve">Michael Jordan</t>
  </si>
  <si>
    <t xml:space="preserve">Mode de remboursement</t>
  </si>
  <si>
    <t xml:space="preserve">Virement bancaire</t>
  </si>
  <si>
    <t xml:space="preserve">Noms pièces jointes (séparées par une virgule)</t>
  </si>
  <si>
    <t xml:space="preserve">Numéro de la note de frais</t>
  </si>
  <si>
    <t xml:space="preserve">Adresse (partie 1)</t>
  </si>
  <si>
    <t xml:space="preserve">Adresse (partie 2)</t>
  </si>
  <si>
    <t>Téléphone</t>
  </si>
  <si>
    <t xml:space="preserve">IBAN (remplissage auto à partir du bénéficiaire)</t>
  </si>
  <si>
    <t xml:space="preserve">Prénom Nom</t>
  </si>
  <si>
    <t xml:space="preserve">Téléphone (ou email)</t>
  </si>
  <si>
    <t>IBAN</t>
  </si>
  <si>
    <t xml:space="preserve">200 rue du Basket</t>
  </si>
  <si>
    <t xml:space="preserve">31000 Toulouse</t>
  </si>
  <si>
    <t xml:space="preserve">06 69 69 69 69</t>
  </si>
  <si>
    <t xml:space="preserve">FR76 0000 0000 5700 0408 9597 000</t>
  </si>
  <si>
    <t>Espèce</t>
  </si>
  <si>
    <t xml:space="preserve">Application de transfert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</si>
</sst>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/>
    <xf fontId="2" fillId="0" borderId="0" numFmtId="0" xfId="0" applyFont="1"/>
    <xf fontId="0" fillId="0" borderId="0" numFmtId="0" xfId="0"/>
    <xf fontId="3" fillId="0" borderId="0" numFmtId="0" xfId="0" applyFont="1"/>
    <xf fontId="0" fillId="2" borderId="0" numFmtId="0" xfId="0" applyFill="1"/>
    <xf fontId="0" fillId="2" borderId="0" numFmtId="0" xfId="0" applyFill="1"/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jordan.belfo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4" width="17.140625"/>
    <col customWidth="1" min="5" max="5" width="4.8515625"/>
    <col customWidth="1" min="6" max="6" width="42.8515625"/>
    <col customWidth="1" min="7" max="7" width="34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ht="14.25">
      <c r="A2">
        <v>1</v>
      </c>
      <c r="B2" t="s">
        <v>6</v>
      </c>
      <c r="C2">
        <v>12</v>
      </c>
      <c r="D2">
        <v>12</v>
      </c>
      <c r="F2" s="2" t="s">
        <v>7</v>
      </c>
      <c r="G2" s="3" t="s">
        <v>8</v>
      </c>
    </row>
    <row r="3" ht="14.25">
      <c r="F3" s="4" t="s">
        <v>9</v>
      </c>
      <c r="G3" t="s">
        <v>10</v>
      </c>
    </row>
    <row r="4" ht="14.25">
      <c r="F4" s="4" t="s">
        <v>11</v>
      </c>
      <c r="G4" t="s">
        <v>12</v>
      </c>
    </row>
    <row r="5" ht="14.25">
      <c r="F5" s="4" t="s">
        <v>13</v>
      </c>
      <c r="G5" s="5" t="s">
        <v>14</v>
      </c>
    </row>
    <row r="6" ht="14.25">
      <c r="F6" s="4" t="s">
        <v>15</v>
      </c>
      <c r="G6" s="6" t="s">
        <v>16</v>
      </c>
    </row>
    <row r="7" ht="14.25">
      <c r="F7" s="2" t="s">
        <v>17</v>
      </c>
      <c r="G7" s="3" t="s">
        <v>18</v>
      </c>
    </row>
    <row r="8" ht="14.25">
      <c r="F8" s="4" t="s">
        <v>19</v>
      </c>
      <c r="G8" s="5" t="s">
        <v>20</v>
      </c>
    </row>
    <row r="9" ht="14.25">
      <c r="F9" s="2" t="s">
        <v>21</v>
      </c>
      <c r="G9" s="3" t="s">
        <v>22</v>
      </c>
    </row>
    <row r="10" ht="14.25">
      <c r="F10" s="2" t="s">
        <v>23</v>
      </c>
      <c r="G10" t="s">
        <v>24</v>
      </c>
    </row>
    <row r="11" ht="14.25">
      <c r="F11" s="1" t="s">
        <v>25</v>
      </c>
      <c r="G11" s="7" t="s">
        <v>26</v>
      </c>
    </row>
    <row r="12" ht="14.25">
      <c r="F12" s="1" t="s">
        <v>27</v>
      </c>
      <c r="G12" s="7" t="s">
        <v>28</v>
      </c>
    </row>
    <row r="13" ht="14.25">
      <c r="F13" s="1" t="s">
        <v>29</v>
      </c>
      <c r="G13" s="8"/>
    </row>
    <row r="14" ht="14.25">
      <c r="F14" s="1" t="s">
        <v>30</v>
      </c>
      <c r="G14" s="7">
        <v>1</v>
      </c>
    </row>
    <row r="15" ht="14.25">
      <c r="F15" s="2" t="s">
        <v>31</v>
      </c>
      <c r="G15" s="9" t="str">
        <f>_xlfn.XLOOKUP(G11,Bénéficiaires!A:A,Bénéficiaires!B:B,"Adresse non-renseignée")</f>
        <v xml:space="preserve">200 rue du Basket</v>
      </c>
    </row>
    <row r="16" ht="14.25">
      <c r="F16" s="2" t="s">
        <v>32</v>
      </c>
      <c r="G16" s="5" t="str">
        <f>_xlfn.XLOOKUP(G11,Bénéficiaires!A:A,Bénéficiaires!C:C,"Adresse non-renseignée")</f>
        <v xml:space="preserve">31000 Toulouse</v>
      </c>
    </row>
    <row r="17" ht="14.25">
      <c r="F17" s="2" t="s">
        <v>33</v>
      </c>
      <c r="G17" s="5" t="str">
        <f>_xlfn.XLOOKUP(G11,Bénéficiaires!A:A,Bénéficiaires!D:D,"Téléphone non-renseigné")</f>
        <v xml:space="preserve">06 69 69 69 69</v>
      </c>
    </row>
    <row r="18" ht="14.25">
      <c r="F18" s="2" t="s">
        <v>34</v>
      </c>
      <c r="G18" t="str">
        <f>IF(G12="Virement bancaire",_xlfn.XLOOKUP(G11,Bénéficiaires!A:A,Bénéficiaires!E:E,"IBAN non-renseigné"),"")</f>
        <v xml:space="preserve">FR76 0000 0000 5700 0408 9597 000</v>
      </c>
    </row>
  </sheetData>
  <dataValidations count="2" disablePrompts="0">
    <dataValidation sqref="G11" type="list" allowBlank="1" errorStyle="stop" imeMode="noControl" operator="between" promptTitle="" showDropDown="0" showErrorMessage="1" showInputMessage="1">
      <formula1>Bénéficiaires!$A$2:$A$1000</formula1>
    </dataValidation>
    <dataValidation sqref="G12" type="list" allowBlank="1" errorStyle="stop" imeMode="noControl" operator="between" showDropDown="0" showErrorMessage="1" showInputMessage="1">
      <formula1>Options!$A$2:$A$4</formula1>
    </dataValidation>
  </dataValidations>
  <hyperlinks>
    <hyperlink r:id="rId1" ref="G6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140625"/>
    <col customWidth="1" min="2" max="3" width="23.140625"/>
    <col customWidth="1" min="4" max="4" width="39.00390625"/>
    <col customWidth="1" min="5" max="5" width="36.28125"/>
  </cols>
  <sheetData>
    <row r="1" ht="14.25">
      <c r="A1" s="1" t="s">
        <v>35</v>
      </c>
      <c r="B1" s="1" t="s">
        <v>31</v>
      </c>
      <c r="C1" s="10" t="s">
        <v>32</v>
      </c>
      <c r="D1" s="1" t="s">
        <v>36</v>
      </c>
      <c r="E1" s="1" t="s">
        <v>37</v>
      </c>
    </row>
    <row r="2" ht="14.25">
      <c r="A2" t="s">
        <v>26</v>
      </c>
      <c r="B2" s="3" t="s">
        <v>38</v>
      </c>
      <c r="C2" s="3" t="s">
        <v>39</v>
      </c>
      <c r="D2" s="3" t="s">
        <v>40</v>
      </c>
      <c r="E2" s="3" t="s">
        <v>41</v>
      </c>
    </row>
  </sheetData>
  <autoFilter ref="A1:E2">
    <sortState ref="A2:E2">
      <sortCondition descending="0" ref="A1:A2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28125"/>
  </cols>
  <sheetData>
    <row r="1" ht="14.25">
      <c r="A1" s="1" t="s">
        <v>27</v>
      </c>
    </row>
    <row r="2" ht="14.25">
      <c r="A2" t="s">
        <v>28</v>
      </c>
    </row>
    <row r="3" ht="14.25">
      <c r="A3" t="s">
        <v>42</v>
      </c>
    </row>
    <row r="4" ht="14.25">
      <c r="A4" t="s">
        <v>43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2025-12-02T17:06:30Z</dcterms:modified>
</cp:coreProperties>
</file>